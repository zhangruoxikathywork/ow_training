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Shared drives\Content\Learning Plans\Financial Modeling\1. Introduction to Financial Statements\1. Introduction to Financial Statements\Lessons and Exercises\8.1 EXERCISE 2\"/>
    </mc:Choice>
  </mc:AlternateContent>
  <xr:revisionPtr revIDLastSave="0" documentId="13_ncr:1_{265659E3-1B88-4048-B637-3D90FAC1491E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Exercise 2" sheetId="2" r:id="rId1"/>
    <sheet name="Balance Sheet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1" i="1" l="1"/>
  <c r="G21" i="1"/>
  <c r="F21" i="1"/>
  <c r="E21" i="1"/>
  <c r="G14" i="1"/>
  <c r="H36" i="1"/>
  <c r="G36" i="1"/>
  <c r="F36" i="1"/>
  <c r="F38" i="1" s="1"/>
  <c r="E36" i="1"/>
  <c r="H31" i="1"/>
  <c r="G31" i="1"/>
  <c r="F31" i="1"/>
  <c r="E31" i="1"/>
  <c r="F14" i="1"/>
  <c r="E14" i="1"/>
  <c r="F2" i="1"/>
  <c r="G2" i="1" s="1"/>
  <c r="H2" i="1" s="1"/>
  <c r="E38" i="1" l="1"/>
  <c r="G38" i="1"/>
  <c r="H38" i="1"/>
  <c r="F23" i="1"/>
  <c r="E23" i="1"/>
  <c r="H14" i="1"/>
  <c r="G23" i="1"/>
  <c r="H23" i="1" l="1"/>
</calcChain>
</file>

<file path=xl/sharedStrings.xml><?xml version="1.0" encoding="utf-8"?>
<sst xmlns="http://schemas.openxmlformats.org/spreadsheetml/2006/main" count="32" uniqueCount="32">
  <si>
    <t>Balance Sheet</t>
  </si>
  <si>
    <t>ASSETS:</t>
  </si>
  <si>
    <t>Current Assets:</t>
  </si>
  <si>
    <t xml:space="preserve">   Cash &amp; Cash Equivalents</t>
  </si>
  <si>
    <t xml:space="preserve">   Trade and other receivables</t>
  </si>
  <si>
    <t xml:space="preserve">   Inventory</t>
  </si>
  <si>
    <t>Total Current Assets</t>
  </si>
  <si>
    <t>Non-Current Assets:</t>
  </si>
  <si>
    <t xml:space="preserve">   Property, Plant &amp; Equipment, Net:</t>
  </si>
  <si>
    <t xml:space="preserve">   Long-Term Investments</t>
  </si>
  <si>
    <t xml:space="preserve">   Other Non-Current Assets</t>
  </si>
  <si>
    <t>Total Non-Current Assets</t>
  </si>
  <si>
    <t>Total Assets</t>
  </si>
  <si>
    <t>LIABILITIES AND EQUITY</t>
  </si>
  <si>
    <t>Current Liabilities</t>
  </si>
  <si>
    <t xml:space="preserve">    Trade and other payables</t>
  </si>
  <si>
    <t xml:space="preserve">    Accrued Expenses</t>
  </si>
  <si>
    <t xml:space="preserve">    Deferred Revenues</t>
  </si>
  <si>
    <t xml:space="preserve">    Short-term debt</t>
  </si>
  <si>
    <t>Total Current Liabilities</t>
  </si>
  <si>
    <t>Non-Current Liabilities</t>
  </si>
  <si>
    <t xml:space="preserve">    Other Non-Current Liabilities</t>
  </si>
  <si>
    <t xml:space="preserve">    Deferred Tax Liabilities</t>
  </si>
  <si>
    <t>Total Non-Current Liabilities</t>
  </si>
  <si>
    <t>Total Liabilities:</t>
  </si>
  <si>
    <t>Equity:</t>
  </si>
  <si>
    <t xml:space="preserve">    Issued Capital &amp; Share Premium</t>
  </si>
  <si>
    <t xml:space="preserve">    Accumulated Earnings</t>
  </si>
  <si>
    <t>Total Equity</t>
  </si>
  <si>
    <t>Total Liabilities and Equity</t>
  </si>
  <si>
    <t>Acid Test Ratio</t>
  </si>
  <si>
    <t>Current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</si>
</sst>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_-* #,##0.0_-;\-* #,##0.0_-;_-* &quot;-&quot;??_-;_-@_-"/>
    <numFmt numFmtId="166" formatCode="#,##0.0_ ;\-#,##0.0\ "/>
    <numFmt numFmtId="167" formatCode="0.0"/>
    <numFmt numFmtId="168" formatCode="#,##0.0;\(\-#,##0.0\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1208DE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9">
    <xf numFmtId="0" fontId="0" fillId="0" borderId="0" xfId="0"/>
    <xf numFmtId="0" fontId="2" fillId="0" borderId="1" xfId="0" applyFont="1" applyBorder="1"/>
    <xf numFmtId="0" fontId="0" fillId="0" borderId="1" xfId="0" applyBorder="1"/>
    <xf numFmtId="0" fontId="3" fillId="0" borderId="1" xfId="0" applyFont="1" applyBorder="1"/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165" fontId="0" fillId="0" borderId="0" xfId="1" applyNumberFormat="1" applyFont="1" applyAlignment="1">
      <alignment horizontal="right"/>
    </xf>
    <xf numFmtId="0" fontId="2" fillId="0" borderId="3" xfId="0" applyFont="1" applyBorder="1"/>
    <xf numFmtId="165" fontId="2" fillId="0" borderId="3" xfId="0" applyNumberFormat="1" applyFont="1" applyBorder="1"/>
    <xf numFmtId="0" fontId="2" fillId="0" borderId="0" xfId="0" applyFont="1"/>
    <xf numFmtId="0" fontId="0" fillId="0" borderId="0" xfId="0" applyFont="1"/>
    <xf numFmtId="166" fontId="2" fillId="0" borderId="3" xfId="0" applyNumberFormat="1" applyFont="1" applyBorder="1"/>
    <xf numFmtId="0" fontId="2" fillId="0" borderId="2" xfId="0" applyFont="1" applyBorder="1"/>
    <xf numFmtId="165" fontId="2" fillId="0" borderId="2" xfId="1" applyNumberFormat="1" applyFont="1" applyBorder="1"/>
    <xf numFmtId="164" fontId="0" fillId="0" borderId="0" xfId="0" applyNumberFormat="1"/>
    <xf numFmtId="168" fontId="4" fillId="0" borderId="0" xfId="0" applyNumberFormat="1" applyFont="1"/>
    <xf numFmtId="0" fontId="0" fillId="0" borderId="0" xfId="0" applyAlignment="1"/>
    <xf numFmtId="0" fontId="0" fillId="0" borderId="3" xfId="0" applyBorder="1"/>
    <xf numFmtId="168" fontId="2" fillId="0" borderId="3" xfId="0" applyNumberFormat="1" applyFont="1" applyBorder="1"/>
    <xf numFmtId="167" fontId="2" fillId="0" borderId="3" xfId="0" applyNumberFormat="1" applyFont="1" applyBorder="1"/>
    <xf numFmtId="0" fontId="0" fillId="0" borderId="2" xfId="0" applyBorder="1"/>
    <xf numFmtId="165" fontId="2" fillId="0" borderId="3" xfId="1" applyNumberFormat="1" applyFont="1" applyBorder="1"/>
    <xf numFmtId="165" fontId="1" fillId="0" borderId="0" xfId="1" applyNumberFormat="1" applyFont="1" applyAlignment="1">
      <alignment horizontal="right"/>
    </xf>
    <xf numFmtId="166" fontId="0" fillId="0" borderId="0" xfId="0" applyNumberFormat="1" applyFont="1"/>
    <xf numFmtId="167" fontId="0" fillId="0" borderId="0" xfId="0" applyNumberFormat="1" applyFont="1"/>
    <xf numFmtId="168" fontId="0" fillId="0" borderId="0" xfId="0" applyNumberFormat="1" applyFont="1"/>
    <xf numFmtId="0" fontId="2" fillId="0" borderId="0" xfId="0" applyFont="1" applyBorder="1"/>
    <xf numFmtId="165" fontId="2" fillId="0" borderId="0" xfId="0" applyNumberFormat="1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7" fontId="5" fillId="0" borderId="0" xfId="0" applyNumberFormat="1" applyFont="1"/>
    <xf numFmtId="0" fontId="5" fillId="0" borderId="0" xfId="0" applyFont="1"/>
    <xf numFmtId="168" fontId="5" fillId="0" borderId="0" xfId="0" applyNumberFormat="1" applyFont="1"/>
    <xf numFmtId="167" fontId="6" fillId="0" borderId="3" xfId="0" applyNumberFormat="1" applyFont="1" applyBorder="1"/>
    <xf numFmtId="0" fontId="6" fillId="0" borderId="3" xfId="0" applyFont="1" applyBorder="1"/>
    <xf numFmtId="167" fontId="6" fillId="0" borderId="2" xfId="0" applyNumberFormat="1" applyFont="1" applyBorder="1"/>
  </cellXfs>
  <cellStyles count="2">
    <cellStyle name="Comma" xfId="1" builtinId="3"/>
    <cellStyle name="Normal" xfId="0" builtinId="0"/>
  </cellStyles>
  <dxfs count="2"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</xdr:row>
      <xdr:rowOff>95250</xdr:rowOff>
    </xdr:from>
    <xdr:to>
      <xdr:col>12</xdr:col>
      <xdr:colOff>353466</xdr:colOff>
      <xdr:row>11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4325" y="285750"/>
          <a:ext cx="8268741" cy="1971675"/>
        </a:xfrm>
        <a:prstGeom prst="rect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IE" sz="1200"/>
        </a:p>
      </xdr:txBody>
    </xdr:sp>
    <xdr:clientData/>
  </xdr:twoCellAnchor>
  <xdr:twoCellAnchor>
    <xdr:from>
      <xdr:col>0</xdr:col>
      <xdr:colOff>314326</xdr:colOff>
      <xdr:row>1</xdr:row>
      <xdr:rowOff>134493</xdr:rowOff>
    </xdr:from>
    <xdr:to>
      <xdr:col>3</xdr:col>
      <xdr:colOff>174052</xdr:colOff>
      <xdr:row>3</xdr:row>
      <xdr:rowOff>33698</xdr:rowOff>
    </xdr:to>
    <xdr:sp macro="" textlink="">
      <xdr:nvSpPr>
        <xdr:cNvPr id="3" name="TextBox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14326" y="324993"/>
          <a:ext cx="1917126" cy="28020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IE" sz="1200" b="1"/>
            <a:t>Exercise 2:</a:t>
          </a:r>
        </a:p>
      </xdr:txBody>
    </xdr:sp>
    <xdr:clientData/>
  </xdr:twoCellAnchor>
  <xdr:twoCellAnchor>
    <xdr:from>
      <xdr:col>3</xdr:col>
      <xdr:colOff>628682</xdr:colOff>
      <xdr:row>1</xdr:row>
      <xdr:rowOff>134493</xdr:rowOff>
    </xdr:from>
    <xdr:to>
      <xdr:col>8</xdr:col>
      <xdr:colOff>84584</xdr:colOff>
      <xdr:row>3</xdr:row>
      <xdr:rowOff>33698</xdr:rowOff>
    </xdr:to>
    <xdr:sp macro="" textlink="">
      <xdr:nvSpPr>
        <xdr:cNvPr id="4" name="TextBox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686082" y="324993"/>
          <a:ext cx="2884902" cy="28020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IE" sz="1200"/>
            <a:t>Introduction to Financial Statements</a:t>
          </a:r>
        </a:p>
      </xdr:txBody>
    </xdr:sp>
    <xdr:clientData/>
  </xdr:twoCellAnchor>
  <xdr:twoCellAnchor>
    <xdr:from>
      <xdr:col>0</xdr:col>
      <xdr:colOff>314325</xdr:colOff>
      <xdr:row>5</xdr:row>
      <xdr:rowOff>125472</xdr:rowOff>
    </xdr:from>
    <xdr:to>
      <xdr:col>11</xdr:col>
      <xdr:colOff>597692</xdr:colOff>
      <xdr:row>10</xdr:row>
      <xdr:rowOff>16793</xdr:rowOff>
    </xdr:to>
    <xdr:sp macro="" textlink="">
      <xdr:nvSpPr>
        <xdr:cNvPr id="5" name="TextBox 1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4325" y="1077972"/>
          <a:ext cx="7827167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200" b="1"/>
            <a:t>Instructions:</a:t>
          </a:r>
        </a:p>
        <a:p>
          <a:r>
            <a:rPr lang="en-US" sz="1200"/>
            <a:t>In the 'Balance</a:t>
          </a:r>
          <a:r>
            <a:rPr lang="en-US" sz="1200" baseline="0"/>
            <a:t> Sheet</a:t>
          </a:r>
          <a:r>
            <a:rPr lang="en-US" sz="1200"/>
            <a:t>' tab, calculate the </a:t>
          </a:r>
          <a:r>
            <a:rPr lang="en-US" sz="1200" b="1"/>
            <a:t>Current Ratio </a:t>
          </a:r>
          <a:r>
            <a:rPr lang="en-US" sz="1200" b="0"/>
            <a:t>and</a:t>
          </a:r>
          <a:r>
            <a:rPr lang="en-US" sz="1200" b="0" baseline="0"/>
            <a:t> the </a:t>
          </a:r>
          <a:r>
            <a:rPr lang="en-US" sz="1200" b="1" baseline="0"/>
            <a:t>Acid Test Ratio </a:t>
          </a:r>
          <a:r>
            <a:rPr lang="en-US" sz="1200" baseline="0"/>
            <a:t>for 2012 - 2015. Your answers should be calculated in cells E4 - H4 and E6 - H6.</a:t>
          </a:r>
        </a:p>
        <a:p>
          <a:endParaRPr lang="en-US" sz="1200" b="1"/>
        </a:p>
      </xdr:txBody>
    </xdr:sp>
    <xdr:clientData/>
  </xdr:twoCellAnchor>
  <xdr:twoCellAnchor editAs="oneCell">
    <xdr:from>
      <xdr:col>8</xdr:col>
      <xdr:colOff>610839</xdr:colOff>
      <xdr:row>1</xdr:row>
      <xdr:rowOff>95250</xdr:rowOff>
    </xdr:from>
    <xdr:to>
      <xdr:col>12</xdr:col>
      <xdr:colOff>113158</xdr:colOff>
      <xdr:row>5</xdr:row>
      <xdr:rowOff>66675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7239" y="285750"/>
          <a:ext cx="2245519" cy="733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abSelected="1" workbookViewId="0">
      <selection activeCell="B4" sqref="B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J45"/>
  <sheetViews>
    <sheetView workbookViewId="0">
      <selection activeCell="E4" sqref="E4"/>
    </sheetView>
  </sheetViews>
  <sheetFormatPr defaultRowHeight="14.4" x14ac:dyDescent="0.3"/>
  <cols>
    <col min="2" max="2" width="13.5546875" bestFit="1" customWidth="1"/>
    <col min="3" max="3" width="33.109375" bestFit="1" customWidth="1"/>
    <col min="5" max="8" width="9.44140625" customWidth="1"/>
  </cols>
  <sheetData>
    <row r="2" spans="2:10" x14ac:dyDescent="0.3">
      <c r="B2" s="1" t="s">
        <v>0</v>
      </c>
      <c r="C2" s="2"/>
      <c r="D2" s="3"/>
      <c r="E2" s="4">
        <v>2011</v>
      </c>
      <c r="F2" s="4">
        <f>E2+1</f>
        <v>2012</v>
      </c>
      <c r="G2" s="4">
        <f t="shared" ref="G2:H2" si="0">F2+1</f>
        <v>2013</v>
      </c>
      <c r="H2" s="4">
        <f t="shared" si="0"/>
        <v>2014</v>
      </c>
    </row>
    <row r="3" spans="2:10" x14ac:dyDescent="0.3">
      <c r="B3" s="27"/>
      <c r="C3" s="29"/>
      <c r="D3" s="30"/>
      <c r="E3" s="31"/>
      <c r="F3" s="31"/>
      <c r="G3" s="31"/>
      <c r="H3" s="31"/>
    </row>
    <row r="4" spans="2:10" x14ac:dyDescent="0.3">
      <c r="B4" s="27"/>
      <c r="C4" s="27" t="s">
        <v>31</v>
      </c>
      <c r="D4" s="30"/>
      <c r="E4" s="32"/>
      <c r="F4" s="32"/>
      <c r="G4" s="32"/>
      <c r="H4" s="32"/>
      <c r="J4" s="29"/>
    </row>
    <row r="5" spans="2:10" x14ac:dyDescent="0.3">
      <c r="B5" s="27"/>
      <c r="C5" s="29"/>
      <c r="D5" s="30"/>
      <c r="E5" s="31"/>
      <c r="F5" s="31"/>
      <c r="G5" s="31"/>
      <c r="H5" s="31"/>
      <c r="J5" s="29"/>
    </row>
    <row r="6" spans="2:10" x14ac:dyDescent="0.3">
      <c r="B6" s="27"/>
      <c r="C6" s="27" t="s">
        <v>30</v>
      </c>
      <c r="D6" s="30"/>
      <c r="E6" s="32"/>
      <c r="F6" s="32"/>
      <c r="G6" s="32"/>
      <c r="H6" s="32"/>
      <c r="J6" s="29"/>
    </row>
    <row r="7" spans="2:10" x14ac:dyDescent="0.3">
      <c r="B7" s="27"/>
      <c r="C7" s="29"/>
      <c r="D7" s="30"/>
      <c r="E7" s="31"/>
      <c r="F7" s="31"/>
      <c r="G7" s="31"/>
      <c r="H7" s="31"/>
    </row>
    <row r="8" spans="2:10" x14ac:dyDescent="0.3">
      <c r="B8" s="27"/>
      <c r="C8" s="29"/>
      <c r="D8" s="30"/>
      <c r="E8" s="31"/>
      <c r="F8" s="31"/>
      <c r="G8" s="31"/>
      <c r="H8" s="31"/>
    </row>
    <row r="9" spans="2:10" x14ac:dyDescent="0.3">
      <c r="C9" s="5" t="s">
        <v>1</v>
      </c>
    </row>
    <row r="10" spans="2:10" x14ac:dyDescent="0.3">
      <c r="C10" s="6" t="s">
        <v>2</v>
      </c>
    </row>
    <row r="11" spans="2:10" x14ac:dyDescent="0.3">
      <c r="C11" t="s">
        <v>3</v>
      </c>
      <c r="E11" s="7">
        <v>19.399999999999999</v>
      </c>
      <c r="F11" s="7">
        <v>30.806250000000002</v>
      </c>
      <c r="G11" s="7">
        <v>43.687500000000007</v>
      </c>
      <c r="H11" s="7">
        <v>68.950000000000017</v>
      </c>
    </row>
    <row r="12" spans="2:10" x14ac:dyDescent="0.3">
      <c r="C12" t="s">
        <v>4</v>
      </c>
      <c r="E12" s="23">
        <v>10</v>
      </c>
      <c r="F12" s="23">
        <v>10.5</v>
      </c>
      <c r="G12" s="23">
        <v>7.3</v>
      </c>
      <c r="H12" s="23">
        <v>3.0999999999999996</v>
      </c>
    </row>
    <row r="13" spans="2:10" x14ac:dyDescent="0.3">
      <c r="C13" t="s">
        <v>5</v>
      </c>
      <c r="E13" s="23">
        <v>4.2</v>
      </c>
      <c r="F13" s="23">
        <v>3.9000000000000004</v>
      </c>
      <c r="G13" s="23">
        <v>5.9</v>
      </c>
      <c r="H13" s="23">
        <v>6.7</v>
      </c>
    </row>
    <row r="14" spans="2:10" x14ac:dyDescent="0.3">
      <c r="C14" s="8" t="s">
        <v>6</v>
      </c>
      <c r="D14" s="8"/>
      <c r="E14" s="9">
        <f>SUM(E11:E13)</f>
        <v>33.6</v>
      </c>
      <c r="F14" s="9">
        <f t="shared" ref="F14:H14" si="1">SUM(F11:F13)</f>
        <v>45.206250000000004</v>
      </c>
      <c r="G14" s="9">
        <f t="shared" si="1"/>
        <v>56.887500000000003</v>
      </c>
      <c r="H14" s="9">
        <f t="shared" si="1"/>
        <v>78.750000000000014</v>
      </c>
    </row>
    <row r="15" spans="2:10" x14ac:dyDescent="0.3">
      <c r="C15" s="27"/>
      <c r="D15" s="27"/>
      <c r="E15" s="28"/>
      <c r="F15" s="28"/>
      <c r="G15" s="28"/>
      <c r="H15" s="28"/>
    </row>
    <row r="17" spans="3:8" x14ac:dyDescent="0.3">
      <c r="C17" s="10" t="s">
        <v>7</v>
      </c>
    </row>
    <row r="18" spans="3:8" x14ac:dyDescent="0.3">
      <c r="C18" t="s">
        <v>8</v>
      </c>
      <c r="E18" s="11">
        <v>5.5</v>
      </c>
      <c r="F18" s="24">
        <v>5.4</v>
      </c>
      <c r="G18" s="11">
        <v>5.3000000000000007</v>
      </c>
      <c r="H18" s="11">
        <v>5.6000000000000014</v>
      </c>
    </row>
    <row r="19" spans="3:8" x14ac:dyDescent="0.3">
      <c r="C19" s="11" t="s">
        <v>9</v>
      </c>
      <c r="E19" s="11">
        <v>0.6</v>
      </c>
      <c r="F19" s="11">
        <v>0.6</v>
      </c>
      <c r="G19" s="11">
        <v>0.6</v>
      </c>
      <c r="H19" s="11">
        <v>0.6</v>
      </c>
    </row>
    <row r="20" spans="3:8" x14ac:dyDescent="0.3">
      <c r="C20" s="11" t="s">
        <v>10</v>
      </c>
      <c r="E20" s="11">
        <v>1.4</v>
      </c>
      <c r="F20" s="24">
        <v>2.5</v>
      </c>
      <c r="G20" s="11">
        <v>3</v>
      </c>
      <c r="H20" s="25">
        <v>3.7</v>
      </c>
    </row>
    <row r="21" spans="3:8" x14ac:dyDescent="0.3">
      <c r="C21" s="8" t="s">
        <v>11</v>
      </c>
      <c r="D21" s="8"/>
      <c r="E21" s="8">
        <f>SUM(E18:E20)</f>
        <v>7.5</v>
      </c>
      <c r="F21" s="12">
        <f>SUM(F18:F20)</f>
        <v>8.5</v>
      </c>
      <c r="G21" s="8">
        <f>SUM(G18:G20)</f>
        <v>8.9</v>
      </c>
      <c r="H21" s="8">
        <f>SUM(H18:H20)</f>
        <v>9.9000000000000021</v>
      </c>
    </row>
    <row r="23" spans="3:8" x14ac:dyDescent="0.3">
      <c r="C23" s="13" t="s">
        <v>12</v>
      </c>
      <c r="D23" s="13"/>
      <c r="E23" s="14">
        <f>E21+E14</f>
        <v>41.1</v>
      </c>
      <c r="F23" s="14">
        <f>F21+F14</f>
        <v>53.706250000000004</v>
      </c>
      <c r="G23" s="14">
        <f>G21+G14</f>
        <v>65.787500000000009</v>
      </c>
      <c r="H23" s="14">
        <f>H21+H14</f>
        <v>88.65000000000002</v>
      </c>
    </row>
    <row r="24" spans="3:8" x14ac:dyDescent="0.3">
      <c r="E24" s="15"/>
    </row>
    <row r="25" spans="3:8" x14ac:dyDescent="0.3">
      <c r="C25" s="5" t="s">
        <v>13</v>
      </c>
    </row>
    <row r="26" spans="3:8" x14ac:dyDescent="0.3">
      <c r="C26" s="6" t="s">
        <v>14</v>
      </c>
      <c r="E26" s="16"/>
      <c r="F26" s="16"/>
      <c r="G26" s="16"/>
      <c r="H26" s="16"/>
    </row>
    <row r="27" spans="3:8" x14ac:dyDescent="0.3">
      <c r="C27" s="11" t="s">
        <v>15</v>
      </c>
      <c r="E27" s="26">
        <v>6.1</v>
      </c>
      <c r="F27" s="26">
        <v>8.5</v>
      </c>
      <c r="G27" s="26">
        <v>6.8</v>
      </c>
      <c r="H27" s="26">
        <v>11.5</v>
      </c>
    </row>
    <row r="28" spans="3:8" x14ac:dyDescent="0.3">
      <c r="C28" s="17" t="s">
        <v>16</v>
      </c>
      <c r="E28" s="26">
        <v>5.3</v>
      </c>
      <c r="F28" s="26">
        <v>4.8999999999999995</v>
      </c>
      <c r="G28" s="26">
        <v>6.8999999999999995</v>
      </c>
      <c r="H28" s="26">
        <v>8.1</v>
      </c>
    </row>
    <row r="29" spans="3:8" x14ac:dyDescent="0.3">
      <c r="C29" s="17" t="s">
        <v>17</v>
      </c>
      <c r="E29" s="26">
        <v>3.1</v>
      </c>
      <c r="F29" s="26">
        <v>6.1</v>
      </c>
      <c r="G29" s="26">
        <v>9.3000000000000007</v>
      </c>
      <c r="H29" s="26">
        <v>15.100000000000001</v>
      </c>
    </row>
    <row r="30" spans="3:8" x14ac:dyDescent="0.3">
      <c r="C30" t="s">
        <v>18</v>
      </c>
      <c r="E30" s="26">
        <v>0</v>
      </c>
      <c r="F30" s="26">
        <v>0</v>
      </c>
      <c r="G30" s="26">
        <v>0</v>
      </c>
      <c r="H30" s="26">
        <v>0</v>
      </c>
    </row>
    <row r="31" spans="3:8" x14ac:dyDescent="0.3">
      <c r="C31" s="8" t="s">
        <v>19</v>
      </c>
      <c r="D31" s="18"/>
      <c r="E31" s="19">
        <f>SUM(E27:E30)</f>
        <v>14.499999999999998</v>
      </c>
      <c r="F31" s="8">
        <f>SUM(F27:F30)</f>
        <v>19.5</v>
      </c>
      <c r="G31" s="20">
        <f>SUM(G27:G30)</f>
        <v>23</v>
      </c>
      <c r="H31" s="8">
        <f>SUM(H27:H30)</f>
        <v>34.700000000000003</v>
      </c>
    </row>
    <row r="32" spans="3:8" x14ac:dyDescent="0.3">
      <c r="C32" s="10"/>
      <c r="E32" s="16"/>
      <c r="F32" s="16"/>
      <c r="G32" s="16"/>
      <c r="H32" s="16"/>
    </row>
    <row r="33" spans="3:8" x14ac:dyDescent="0.3">
      <c r="C33" s="10" t="s">
        <v>20</v>
      </c>
      <c r="E33" s="16"/>
      <c r="F33" s="16"/>
      <c r="G33" s="16"/>
      <c r="H33" s="16"/>
    </row>
    <row r="34" spans="3:8" x14ac:dyDescent="0.3">
      <c r="C34" s="11" t="s">
        <v>21</v>
      </c>
      <c r="E34" s="33">
        <v>2</v>
      </c>
      <c r="F34" s="33">
        <v>2</v>
      </c>
      <c r="G34" s="33">
        <v>2</v>
      </c>
      <c r="H34" s="33">
        <v>2</v>
      </c>
    </row>
    <row r="35" spans="3:8" x14ac:dyDescent="0.3">
      <c r="C35" s="11" t="s">
        <v>22</v>
      </c>
      <c r="E35" s="34">
        <v>1.5</v>
      </c>
      <c r="F35" s="35">
        <v>1.8</v>
      </c>
      <c r="G35" s="34">
        <v>2.2000000000000002</v>
      </c>
      <c r="H35" s="34">
        <v>2.6</v>
      </c>
    </row>
    <row r="36" spans="3:8" x14ac:dyDescent="0.3">
      <c r="C36" s="8" t="s">
        <v>23</v>
      </c>
      <c r="D36" s="18"/>
      <c r="E36" s="36">
        <f>SUM(E34:E35)</f>
        <v>3.5</v>
      </c>
      <c r="F36" s="37">
        <f t="shared" ref="F36:H36" si="2">SUM(F34:F35)</f>
        <v>3.8</v>
      </c>
      <c r="G36" s="37">
        <f t="shared" si="2"/>
        <v>4.2</v>
      </c>
      <c r="H36" s="37">
        <f t="shared" si="2"/>
        <v>4.5999999999999996</v>
      </c>
    </row>
    <row r="37" spans="3:8" x14ac:dyDescent="0.3">
      <c r="E37" s="34"/>
      <c r="F37" s="34"/>
      <c r="G37" s="34"/>
      <c r="H37" s="34"/>
    </row>
    <row r="38" spans="3:8" x14ac:dyDescent="0.3">
      <c r="C38" s="13" t="s">
        <v>24</v>
      </c>
      <c r="D38" s="21"/>
      <c r="E38" s="38">
        <f>SUM(E36+E31)</f>
        <v>18</v>
      </c>
      <c r="F38" s="38">
        <f t="shared" ref="F38:H38" si="3">SUM(F36+F31)</f>
        <v>23.3</v>
      </c>
      <c r="G38" s="38">
        <f t="shared" si="3"/>
        <v>27.2</v>
      </c>
      <c r="H38" s="38">
        <f t="shared" si="3"/>
        <v>39.300000000000004</v>
      </c>
    </row>
    <row r="39" spans="3:8" x14ac:dyDescent="0.3">
      <c r="E39" s="34"/>
      <c r="F39" s="34"/>
      <c r="G39" s="34"/>
      <c r="H39" s="34"/>
    </row>
    <row r="40" spans="3:8" x14ac:dyDescent="0.3">
      <c r="C40" s="10" t="s">
        <v>25</v>
      </c>
      <c r="E40" s="34"/>
      <c r="F40" s="34"/>
      <c r="G40" s="34"/>
      <c r="H40" s="34"/>
    </row>
    <row r="41" spans="3:8" x14ac:dyDescent="0.3">
      <c r="C41" t="s">
        <v>26</v>
      </c>
      <c r="E41" s="34">
        <v>3.2</v>
      </c>
      <c r="F41" s="34">
        <v>3.2</v>
      </c>
      <c r="G41" s="34">
        <v>3.2</v>
      </c>
      <c r="H41" s="34">
        <v>3.2</v>
      </c>
    </row>
    <row r="42" spans="3:8" x14ac:dyDescent="0.3">
      <c r="C42" s="11" t="s">
        <v>27</v>
      </c>
      <c r="E42" s="33">
        <v>19.899999999999999</v>
      </c>
      <c r="F42" s="33">
        <v>27.206250000000001</v>
      </c>
      <c r="G42" s="33">
        <v>35.387500000000003</v>
      </c>
      <c r="H42" s="33">
        <v>46.150000000000006</v>
      </c>
    </row>
    <row r="43" spans="3:8" x14ac:dyDescent="0.3">
      <c r="C43" s="8" t="s">
        <v>28</v>
      </c>
      <c r="D43" s="18"/>
      <c r="E43" s="22">
        <v>23.099999999999998</v>
      </c>
      <c r="F43" s="22">
        <v>30.40625</v>
      </c>
      <c r="G43" s="22">
        <v>38.587500000000006</v>
      </c>
      <c r="H43" s="22">
        <v>49.350000000000009</v>
      </c>
    </row>
    <row r="45" spans="3:8" x14ac:dyDescent="0.3">
      <c r="C45" s="13" t="s">
        <v>29</v>
      </c>
      <c r="D45" s="21"/>
      <c r="E45" s="14">
        <v>41.099999999999994</v>
      </c>
      <c r="F45" s="14">
        <v>53.706249999999997</v>
      </c>
      <c r="G45" s="14">
        <v>65.787500000000009</v>
      </c>
      <c r="H45" s="14">
        <v>88.65</v>
      </c>
    </row>
  </sheetData>
  <conditionalFormatting sqref="J4:J6">
    <cfRule type="containsText" dxfId="1" priority="1" operator="containsText" text="Incorrect">
      <formula>NOT(ISERROR(SEARCH("Incorrect",J4)))</formula>
    </cfRule>
    <cfRule type="containsText" dxfId="0" priority="2" operator="containsText" text="Well done">
      <formula>NOT(ISERROR(SEARCH("Well done",J4)))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Exercise 2</vt:lpstr>
      <vt:lpstr>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Aidan Corbett</dc:creator>
  <cp:lastModifiedBy>Kubicle</cp:lastModifiedBy>
  <dcterms:created xsi:type="dcterms:W3CDTF">2016-09-19T08:48:38Z</dcterms:created>
  <dcterms:modified xsi:type="dcterms:W3CDTF">2021-09-10T19:59:35Z</dcterms:modified>
</cp:coreProperties>
</file>